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T:\home\amoschou\Projects\Typography\github\amoschou\stixfonts\extension\source\info\"/>
    </mc:Choice>
  </mc:AlternateContent>
  <xr:revisionPtr revIDLastSave="0" documentId="13_ncr:1_{8AC190A7-23DC-43BC-8CE1-3ECB61202B7E}" xr6:coauthVersionLast="47" xr6:coauthVersionMax="47" xr10:uidLastSave="{00000000-0000-0000-0000-000000000000}"/>
  <bookViews>
    <workbookView xWindow="-120" yWindow="-120" windowWidth="29040" windowHeight="15720" xr2:uid="{7DC9413C-BAC9-4CAA-A8F4-9B244BC4D8C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6" i="1" l="1" a="1"/>
  <c r="C36" i="1" s="1"/>
  <c r="W36" i="1"/>
  <c r="W36" i="1" a="1"/>
  <c r="F6" i="1"/>
  <c r="F16" i="1"/>
  <c r="J37" i="1" s="1" a="1"/>
  <c r="J37" i="1" s="1"/>
  <c r="Q37" i="1" s="1"/>
  <c r="F26" i="1"/>
  <c r="H44" i="1" l="1" a="1"/>
  <c r="H44" i="1" s="1"/>
  <c r="O44" i="1" s="1"/>
  <c r="K36" i="1" a="1"/>
  <c r="K36" i="1" s="1"/>
  <c r="R36" i="1" s="1"/>
  <c r="I44" i="1" a="1"/>
  <c r="I44" i="1" s="1"/>
  <c r="P44" i="1" s="1"/>
  <c r="I38" i="1" a="1"/>
  <c r="I38" i="1" s="1"/>
  <c r="P38" i="1" s="1"/>
  <c r="I37" i="1" a="1"/>
  <c r="I37" i="1" s="1"/>
  <c r="P37" i="1" s="1"/>
  <c r="L41" i="1" a="1"/>
  <c r="L41" i="1" s="1"/>
  <c r="S41" i="1" s="1"/>
  <c r="M40" i="1" a="1"/>
  <c r="M40" i="1" s="1"/>
  <c r="T40" i="1" s="1"/>
  <c r="J40" i="1" a="1"/>
  <c r="J40" i="1" s="1"/>
  <c r="Q40" i="1" s="1"/>
  <c r="H43" i="1" a="1"/>
  <c r="H43" i="1" s="1"/>
  <c r="O43" i="1" s="1"/>
  <c r="M44" i="1" a="1"/>
  <c r="M44" i="1" s="1"/>
  <c r="T44" i="1" s="1"/>
  <c r="M39" i="1" a="1"/>
  <c r="M39" i="1" s="1"/>
  <c r="T39" i="1" s="1"/>
  <c r="J44" i="1" a="1"/>
  <c r="J44" i="1" s="1"/>
  <c r="Q44" i="1" s="1"/>
  <c r="L38" i="1" a="1"/>
  <c r="L38" i="1" s="1"/>
  <c r="S38" i="1" s="1"/>
  <c r="H42" i="1" a="1"/>
  <c r="H42" i="1" s="1"/>
  <c r="O42" i="1" s="1"/>
  <c r="K38" i="1" a="1"/>
  <c r="K38" i="1" s="1"/>
  <c r="R38" i="1" s="1"/>
  <c r="H40" i="1" a="1"/>
  <c r="H40" i="1" s="1"/>
  <c r="O40" i="1" s="1"/>
  <c r="K43" i="1" a="1"/>
  <c r="K43" i="1" s="1"/>
  <c r="R43" i="1" s="1"/>
  <c r="J38" i="1" a="1"/>
  <c r="J38" i="1" s="1"/>
  <c r="Q38" i="1" s="1"/>
  <c r="J43" i="1" a="1"/>
  <c r="J43" i="1" s="1"/>
  <c r="Q43" i="1" s="1"/>
  <c r="L37" i="1" a="1"/>
  <c r="L37" i="1" s="1"/>
  <c r="S37" i="1" s="1"/>
  <c r="H37" i="1" a="1"/>
  <c r="H37" i="1" s="1"/>
  <c r="O37" i="1" s="1"/>
  <c r="M41" i="1" a="1"/>
  <c r="M41" i="1" s="1"/>
  <c r="T41" i="1" s="1"/>
  <c r="I43" i="1" a="1"/>
  <c r="I43" i="1" s="1"/>
  <c r="P43" i="1" s="1"/>
  <c r="L44" i="1" a="1"/>
  <c r="L44" i="1" s="1"/>
  <c r="S44" i="1" s="1"/>
  <c r="K41" i="1" a="1"/>
  <c r="K41" i="1" s="1"/>
  <c r="R41" i="1" s="1"/>
  <c r="L39" i="1" a="1"/>
  <c r="L39" i="1" s="1"/>
  <c r="S39" i="1" s="1"/>
  <c r="H41" i="1" a="1"/>
  <c r="H41" i="1" s="1"/>
  <c r="O41" i="1" s="1"/>
  <c r="I36" i="1" a="1"/>
  <c r="I36" i="1" s="1"/>
  <c r="P36" i="1" s="1"/>
  <c r="M42" i="1" a="1"/>
  <c r="M42" i="1" s="1"/>
  <c r="T42" i="1" s="1"/>
  <c r="J41" i="1" a="1"/>
  <c r="J41" i="1" s="1"/>
  <c r="Q41" i="1" s="1"/>
  <c r="M37" i="1" a="1"/>
  <c r="M37" i="1" s="1"/>
  <c r="T37" i="1" s="1"/>
  <c r="I42" i="1" a="1"/>
  <c r="I42" i="1" s="1"/>
  <c r="P42" i="1" s="1"/>
  <c r="J36" i="1" a="1"/>
  <c r="J36" i="1" s="1"/>
  <c r="Q36" i="1" s="1"/>
  <c r="K44" i="1" a="1"/>
  <c r="K44" i="1" s="1"/>
  <c r="R44" i="1" s="1"/>
  <c r="L42" i="1" a="1"/>
  <c r="L42" i="1" s="1"/>
  <c r="S42" i="1" s="1"/>
  <c r="K39" i="1" a="1"/>
  <c r="K39" i="1" s="1"/>
  <c r="R39" i="1" s="1"/>
  <c r="E36" i="1" a="1"/>
  <c r="E36" i="1" s="1"/>
  <c r="B36" i="1" s="1"/>
  <c r="I41" i="1" a="1"/>
  <c r="I41" i="1" s="1"/>
  <c r="P41" i="1" s="1"/>
  <c r="M36" i="1" a="1"/>
  <c r="M36" i="1" s="1"/>
  <c r="T36" i="1" s="1"/>
  <c r="K42" i="1" a="1"/>
  <c r="K42" i="1" s="1"/>
  <c r="R42" i="1" s="1"/>
  <c r="J39" i="1" a="1"/>
  <c r="J39" i="1" s="1"/>
  <c r="Q39" i="1" s="1"/>
  <c r="H39" i="1" a="1"/>
  <c r="H39" i="1" s="1"/>
  <c r="O39" i="1" s="1"/>
  <c r="I40" i="1" a="1"/>
  <c r="I40" i="1" s="1"/>
  <c r="P40" i="1" s="1"/>
  <c r="M43" i="1" a="1"/>
  <c r="M43" i="1" s="1"/>
  <c r="T43" i="1" s="1"/>
  <c r="L40" i="1" a="1"/>
  <c r="L40" i="1" s="1"/>
  <c r="S40" i="1" s="1"/>
  <c r="K37" i="1" a="1"/>
  <c r="K37" i="1" s="1"/>
  <c r="R37" i="1" s="1"/>
  <c r="H36" i="1" a="1"/>
  <c r="H36" i="1" s="1"/>
  <c r="O36" i="1" s="1"/>
  <c r="L36" i="1" a="1"/>
  <c r="L36" i="1" s="1"/>
  <c r="S36" i="1" s="1"/>
  <c r="J42" i="1" a="1"/>
  <c r="J42" i="1" s="1"/>
  <c r="Q42" i="1" s="1"/>
  <c r="M38" i="1" a="1"/>
  <c r="M38" i="1" s="1"/>
  <c r="T38" i="1" s="1"/>
  <c r="H38" i="1" a="1"/>
  <c r="H38" i="1" s="1"/>
  <c r="O38" i="1" s="1"/>
  <c r="I39" i="1" a="1"/>
  <c r="I39" i="1" s="1"/>
  <c r="P39" i="1" s="1"/>
  <c r="L43" i="1" a="1"/>
  <c r="L43" i="1" s="1"/>
  <c r="S43" i="1" s="1"/>
  <c r="K40" i="1" a="1"/>
  <c r="K40" i="1" s="1"/>
  <c r="R40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<sst xmlns="http://schemas.openxmlformats.org/spreadsheetml/2006/main" count="12" uniqueCount="12">
  <si>
    <t>ord</t>
  </si>
  <si>
    <t>ssty</t>
  </si>
  <si>
    <t>ssty2</t>
  </si>
  <si>
    <t>Scale</t>
  </si>
  <si>
    <t>X height</t>
  </si>
  <si>
    <t>Anchor</t>
  </si>
  <si>
    <t>Scaled X height</t>
  </si>
  <si>
    <t>Regular</t>
  </si>
  <si>
    <t>Bold</t>
  </si>
  <si>
    <t>AW Reg</t>
  </si>
  <si>
    <t>AW Bold</t>
  </si>
  <si>
    <t>Anchor Bold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</si>
</sst>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2" formatCode="0.0000000000000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" fontId="0" fillId="0" borderId="0" xfId="0" applyNumberFormat="1"/>
    <xf numFmtId="0" fontId="0" fillId="0" borderId="0" xfId="0" applyNumberFormat="1"/>
    <xf numFmtId="182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0FAB7-4A6E-43CB-B47A-8BFBA4A93597}">
  <dimension ref="A4:Z49"/>
  <sheetViews>
    <sheetView tabSelected="1" zoomScale="77" workbookViewId="0">
      <selection activeCell="W41" sqref="W41"/>
    </sheetView>
  </sheetViews>
  <sheetFormatPr defaultRowHeight="15" x14ac:dyDescent="0.25"/>
  <cols>
    <col min="2" max="2" width="33.7109375" customWidth="1"/>
    <col min="6" max="6" width="14.5703125" bestFit="1" customWidth="1"/>
    <col min="8" max="9" width="10.140625" bestFit="1" customWidth="1"/>
    <col min="23" max="23" width="14.28515625" bestFit="1" customWidth="1"/>
  </cols>
  <sheetData>
    <row r="4" spans="1:26" x14ac:dyDescent="0.25">
      <c r="B4" t="s">
        <v>3</v>
      </c>
      <c r="C4" t="s">
        <v>5</v>
      </c>
      <c r="E4" t="s">
        <v>4</v>
      </c>
      <c r="F4" t="s">
        <v>6</v>
      </c>
      <c r="H4" t="s">
        <v>7</v>
      </c>
      <c r="O4" t="s">
        <v>8</v>
      </c>
      <c r="W4" t="s">
        <v>9</v>
      </c>
      <c r="X4" t="s">
        <v>10</v>
      </c>
      <c r="Z4" t="s">
        <v>11</v>
      </c>
    </row>
    <row r="6" spans="1:26" x14ac:dyDescent="0.25">
      <c r="A6" t="s">
        <v>0</v>
      </c>
      <c r="B6">
        <v>1</v>
      </c>
      <c r="C6">
        <v>130</v>
      </c>
      <c r="E6">
        <v>473</v>
      </c>
      <c r="F6">
        <f>B6*E6</f>
        <v>473</v>
      </c>
      <c r="H6">
        <v>64</v>
      </c>
      <c r="I6">
        <v>157</v>
      </c>
      <c r="J6">
        <v>0</v>
      </c>
      <c r="K6">
        <v>69</v>
      </c>
      <c r="L6">
        <v>0</v>
      </c>
      <c r="M6">
        <v>-124</v>
      </c>
      <c r="O6">
        <v>64</v>
      </c>
      <c r="P6">
        <v>157</v>
      </c>
      <c r="Q6">
        <v>0</v>
      </c>
      <c r="R6">
        <v>69</v>
      </c>
      <c r="S6">
        <v>0</v>
      </c>
      <c r="T6">
        <v>-124</v>
      </c>
      <c r="W6">
        <v>259</v>
      </c>
      <c r="X6">
        <v>298</v>
      </c>
      <c r="Z6">
        <v>150</v>
      </c>
    </row>
    <row r="7" spans="1:26" x14ac:dyDescent="0.25">
      <c r="H7">
        <v>149</v>
      </c>
      <c r="I7">
        <v>-9</v>
      </c>
      <c r="J7">
        <v>-56</v>
      </c>
      <c r="K7">
        <v>0</v>
      </c>
      <c r="L7">
        <v>63</v>
      </c>
      <c r="M7">
        <v>0</v>
      </c>
      <c r="O7">
        <v>179</v>
      </c>
      <c r="P7">
        <v>-9</v>
      </c>
      <c r="Q7">
        <v>-82</v>
      </c>
      <c r="R7">
        <v>0</v>
      </c>
      <c r="S7">
        <v>62</v>
      </c>
      <c r="T7">
        <v>0</v>
      </c>
    </row>
    <row r="8" spans="1:26" x14ac:dyDescent="0.25">
      <c r="H8">
        <v>264</v>
      </c>
      <c r="I8">
        <v>75</v>
      </c>
      <c r="J8">
        <v>-24</v>
      </c>
      <c r="K8">
        <v>-49</v>
      </c>
      <c r="L8">
        <v>0</v>
      </c>
      <c r="M8">
        <v>0</v>
      </c>
      <c r="O8">
        <v>317</v>
      </c>
      <c r="P8">
        <v>114</v>
      </c>
      <c r="Q8">
        <v>-24</v>
      </c>
      <c r="R8">
        <v>-73</v>
      </c>
      <c r="S8">
        <v>0</v>
      </c>
      <c r="T8">
        <v>0</v>
      </c>
    </row>
    <row r="9" spans="1:26" x14ac:dyDescent="0.25">
      <c r="H9">
        <v>247</v>
      </c>
      <c r="I9">
        <v>89</v>
      </c>
      <c r="J9">
        <v>0</v>
      </c>
      <c r="K9">
        <v>0</v>
      </c>
      <c r="L9">
        <v>-13</v>
      </c>
      <c r="M9">
        <v>-13</v>
      </c>
      <c r="O9">
        <v>292</v>
      </c>
      <c r="P9">
        <v>129</v>
      </c>
      <c r="Q9">
        <v>0</v>
      </c>
      <c r="R9">
        <v>0</v>
      </c>
      <c r="S9">
        <v>-11</v>
      </c>
      <c r="T9">
        <v>-14</v>
      </c>
    </row>
    <row r="10" spans="1:26" x14ac:dyDescent="0.25">
      <c r="H10">
        <v>183</v>
      </c>
      <c r="I10">
        <v>63</v>
      </c>
      <c r="J10">
        <v>38</v>
      </c>
      <c r="K10">
        <v>0</v>
      </c>
      <c r="L10">
        <v>-42</v>
      </c>
      <c r="M10">
        <v>0</v>
      </c>
      <c r="O10">
        <v>227</v>
      </c>
      <c r="P10">
        <v>91</v>
      </c>
      <c r="Q10">
        <v>38</v>
      </c>
      <c r="R10">
        <v>0</v>
      </c>
      <c r="S10">
        <v>-42</v>
      </c>
      <c r="T10">
        <v>0</v>
      </c>
    </row>
    <row r="11" spans="1:26" x14ac:dyDescent="0.25">
      <c r="H11">
        <v>126</v>
      </c>
      <c r="I11">
        <v>137</v>
      </c>
      <c r="J11">
        <v>0</v>
      </c>
      <c r="K11">
        <v>-39</v>
      </c>
      <c r="L11">
        <v>0</v>
      </c>
      <c r="M11">
        <v>56</v>
      </c>
      <c r="O11">
        <v>170</v>
      </c>
      <c r="P11">
        <v>178</v>
      </c>
      <c r="Q11">
        <v>0</v>
      </c>
      <c r="R11">
        <v>-46</v>
      </c>
      <c r="S11">
        <v>0</v>
      </c>
      <c r="T11">
        <v>68</v>
      </c>
    </row>
    <row r="12" spans="1:26" x14ac:dyDescent="0.25">
      <c r="H12">
        <v>163</v>
      </c>
      <c r="I12">
        <v>464</v>
      </c>
      <c r="J12">
        <v>-24</v>
      </c>
      <c r="K12">
        <v>-184</v>
      </c>
      <c r="L12">
        <v>0</v>
      </c>
      <c r="M12">
        <v>0</v>
      </c>
      <c r="O12">
        <v>217</v>
      </c>
      <c r="P12">
        <v>460</v>
      </c>
      <c r="Q12">
        <v>-36</v>
      </c>
      <c r="R12">
        <v>-160</v>
      </c>
      <c r="S12">
        <v>0</v>
      </c>
      <c r="T12">
        <v>0</v>
      </c>
    </row>
    <row r="13" spans="1:26" x14ac:dyDescent="0.25">
      <c r="H13">
        <v>153</v>
      </c>
      <c r="I13">
        <v>473</v>
      </c>
      <c r="J13">
        <v>0</v>
      </c>
      <c r="K13">
        <v>0</v>
      </c>
      <c r="L13">
        <v>0</v>
      </c>
      <c r="M13">
        <v>0</v>
      </c>
      <c r="O13">
        <v>195</v>
      </c>
      <c r="P13">
        <v>473</v>
      </c>
      <c r="Q13">
        <v>0</v>
      </c>
      <c r="R13">
        <v>0</v>
      </c>
      <c r="S13">
        <v>0</v>
      </c>
      <c r="T13">
        <v>0</v>
      </c>
    </row>
    <row r="14" spans="1:26" x14ac:dyDescent="0.25">
      <c r="H14">
        <v>72</v>
      </c>
      <c r="I14">
        <v>470</v>
      </c>
      <c r="J14">
        <v>0</v>
      </c>
      <c r="K14">
        <v>0</v>
      </c>
      <c r="L14">
        <v>-3</v>
      </c>
      <c r="M14">
        <v>-110</v>
      </c>
      <c r="O14">
        <v>72</v>
      </c>
      <c r="P14">
        <v>470</v>
      </c>
      <c r="Q14">
        <v>0</v>
      </c>
      <c r="R14">
        <v>0</v>
      </c>
      <c r="S14">
        <v>-3</v>
      </c>
      <c r="T14">
        <v>-110</v>
      </c>
    </row>
    <row r="16" spans="1:26" x14ac:dyDescent="0.25">
      <c r="A16" t="s">
        <v>1</v>
      </c>
      <c r="B16">
        <v>0.7</v>
      </c>
      <c r="C16">
        <v>155</v>
      </c>
      <c r="E16" s="4">
        <v>518</v>
      </c>
      <c r="F16">
        <f>B16*E16</f>
        <v>362.59999999999997</v>
      </c>
      <c r="H16">
        <v>79</v>
      </c>
      <c r="I16">
        <v>163</v>
      </c>
      <c r="J16">
        <v>0</v>
      </c>
      <c r="K16">
        <v>78</v>
      </c>
      <c r="L16">
        <v>0</v>
      </c>
      <c r="M16">
        <v>-130</v>
      </c>
      <c r="W16">
        <v>320</v>
      </c>
    </row>
    <row r="17" spans="1:23" x14ac:dyDescent="0.25">
      <c r="H17">
        <v>176</v>
      </c>
      <c r="I17">
        <v>-10</v>
      </c>
      <c r="J17">
        <v>-63</v>
      </c>
      <c r="K17">
        <v>0</v>
      </c>
      <c r="L17">
        <v>70</v>
      </c>
      <c r="M17">
        <v>0</v>
      </c>
    </row>
    <row r="18" spans="1:23" x14ac:dyDescent="0.25">
      <c r="H18">
        <v>305</v>
      </c>
      <c r="I18">
        <v>83</v>
      </c>
      <c r="J18">
        <v>-26</v>
      </c>
      <c r="K18">
        <v>-53</v>
      </c>
      <c r="L18">
        <v>0</v>
      </c>
      <c r="M18">
        <v>0</v>
      </c>
    </row>
    <row r="19" spans="1:23" x14ac:dyDescent="0.25">
      <c r="H19">
        <v>283</v>
      </c>
      <c r="I19">
        <v>99</v>
      </c>
      <c r="J19">
        <v>0</v>
      </c>
      <c r="K19">
        <v>0</v>
      </c>
      <c r="L19">
        <v>-15</v>
      </c>
      <c r="M19">
        <v>-13</v>
      </c>
    </row>
    <row r="20" spans="1:23" x14ac:dyDescent="0.25">
      <c r="H20">
        <v>214</v>
      </c>
      <c r="I20">
        <v>72</v>
      </c>
      <c r="J20">
        <v>38</v>
      </c>
      <c r="K20">
        <v>0</v>
      </c>
      <c r="L20">
        <v>-43</v>
      </c>
      <c r="M20">
        <v>0</v>
      </c>
    </row>
    <row r="21" spans="1:23" x14ac:dyDescent="0.25">
      <c r="H21">
        <v>154</v>
      </c>
      <c r="I21">
        <v>149</v>
      </c>
      <c r="J21">
        <v>0</v>
      </c>
      <c r="K21">
        <v>-41</v>
      </c>
      <c r="L21">
        <v>0</v>
      </c>
      <c r="M21">
        <v>67</v>
      </c>
    </row>
    <row r="22" spans="1:23" x14ac:dyDescent="0.25">
      <c r="H22">
        <v>195</v>
      </c>
      <c r="I22">
        <v>507</v>
      </c>
      <c r="J22">
        <v>-27</v>
      </c>
      <c r="K22">
        <v>-204</v>
      </c>
      <c r="L22">
        <v>0</v>
      </c>
      <c r="M22">
        <v>0</v>
      </c>
    </row>
    <row r="23" spans="1:23" x14ac:dyDescent="0.25">
      <c r="H23">
        <v>181</v>
      </c>
      <c r="I23">
        <v>518</v>
      </c>
      <c r="J23">
        <v>0</v>
      </c>
      <c r="K23">
        <v>0</v>
      </c>
      <c r="L23">
        <v>0</v>
      </c>
      <c r="M23">
        <v>0</v>
      </c>
    </row>
    <row r="24" spans="1:23" x14ac:dyDescent="0.25">
      <c r="H24">
        <v>89</v>
      </c>
      <c r="I24">
        <v>515</v>
      </c>
      <c r="J24">
        <v>0</v>
      </c>
      <c r="K24">
        <v>0</v>
      </c>
      <c r="L24">
        <v>-4</v>
      </c>
      <c r="M24">
        <v>-126</v>
      </c>
    </row>
    <row r="26" spans="1:23" x14ac:dyDescent="0.25">
      <c r="A26" t="s">
        <v>2</v>
      </c>
      <c r="B26">
        <v>0.55000000000000004</v>
      </c>
      <c r="C26">
        <v>170</v>
      </c>
      <c r="E26">
        <v>547</v>
      </c>
      <c r="F26">
        <f>B26*E26</f>
        <v>300.85000000000002</v>
      </c>
      <c r="H26">
        <v>87</v>
      </c>
      <c r="I26">
        <v>167</v>
      </c>
      <c r="J26">
        <v>0</v>
      </c>
      <c r="K26">
        <v>83</v>
      </c>
      <c r="L26">
        <v>0</v>
      </c>
      <c r="M26">
        <v>-134</v>
      </c>
      <c r="W26">
        <v>348</v>
      </c>
    </row>
    <row r="27" spans="1:23" x14ac:dyDescent="0.25">
      <c r="H27">
        <v>193</v>
      </c>
      <c r="I27">
        <v>-10</v>
      </c>
      <c r="J27">
        <v>-70</v>
      </c>
      <c r="K27">
        <v>0</v>
      </c>
      <c r="L27">
        <v>72</v>
      </c>
      <c r="M27">
        <v>0</v>
      </c>
    </row>
    <row r="28" spans="1:23" x14ac:dyDescent="0.25">
      <c r="H28">
        <v>328</v>
      </c>
      <c r="I28">
        <v>87</v>
      </c>
      <c r="J28">
        <v>-25</v>
      </c>
      <c r="K28">
        <v>-55</v>
      </c>
      <c r="L28">
        <v>0</v>
      </c>
      <c r="M28">
        <v>0</v>
      </c>
    </row>
    <row r="29" spans="1:23" x14ac:dyDescent="0.25">
      <c r="H29">
        <v>305</v>
      </c>
      <c r="I29">
        <v>106</v>
      </c>
      <c r="J29">
        <v>0</v>
      </c>
      <c r="K29">
        <v>0</v>
      </c>
      <c r="L29">
        <v>-17</v>
      </c>
      <c r="M29">
        <v>-14</v>
      </c>
    </row>
    <row r="30" spans="1:23" x14ac:dyDescent="0.25">
      <c r="H30">
        <v>231</v>
      </c>
      <c r="I30">
        <v>79</v>
      </c>
      <c r="J30">
        <v>39</v>
      </c>
      <c r="K30">
        <v>0</v>
      </c>
      <c r="L30">
        <v>-41</v>
      </c>
      <c r="M30">
        <v>0</v>
      </c>
    </row>
    <row r="31" spans="1:23" x14ac:dyDescent="0.25">
      <c r="H31">
        <v>170</v>
      </c>
      <c r="I31">
        <v>157</v>
      </c>
      <c r="J31">
        <v>0</v>
      </c>
      <c r="K31">
        <v>-42</v>
      </c>
      <c r="L31">
        <v>0</v>
      </c>
      <c r="M31">
        <v>74</v>
      </c>
    </row>
    <row r="32" spans="1:23" x14ac:dyDescent="0.25">
      <c r="H32">
        <v>214</v>
      </c>
      <c r="I32">
        <v>534</v>
      </c>
      <c r="J32">
        <v>-30</v>
      </c>
      <c r="K32">
        <v>-216</v>
      </c>
      <c r="L32">
        <v>0</v>
      </c>
      <c r="M32">
        <v>0</v>
      </c>
    </row>
    <row r="33" spans="2:23" x14ac:dyDescent="0.25">
      <c r="H33">
        <v>198</v>
      </c>
      <c r="I33">
        <v>547</v>
      </c>
      <c r="J33">
        <v>0</v>
      </c>
      <c r="K33">
        <v>0</v>
      </c>
      <c r="L33">
        <v>0</v>
      </c>
      <c r="M33">
        <v>0</v>
      </c>
    </row>
    <row r="34" spans="2:23" x14ac:dyDescent="0.25">
      <c r="H34">
        <v>97</v>
      </c>
      <c r="I34">
        <v>544</v>
      </c>
      <c r="J34">
        <v>0</v>
      </c>
      <c r="K34">
        <v>0</v>
      </c>
      <c r="L34">
        <v>-4</v>
      </c>
      <c r="M34">
        <v>-136</v>
      </c>
    </row>
    <row r="36" spans="2:23" x14ac:dyDescent="0.25">
      <c r="B36" s="3">
        <f>100*F36/E36</f>
        <v>28.244770153501342</v>
      </c>
      <c r="C36" s="4" cm="1">
        <f t="array" ref="C36">INDEX(LINEST(CHOOSE({1,2,3},C6,C16,C26),CHOOSE({1,2,3},$F$6,$F$16,$F$26),TRUE),1)*$F$36+INDEX(LINEST(CHOOSE({1,2,3},C6,C16,C26),CHOOSE({1,2,3},$F$6,$F$16,$F$26),TRUE),2)</f>
        <v>200.04122025744766</v>
      </c>
      <c r="E36" s="1" cm="1">
        <f t="array" ref="E36">INDEX(LINEST(CHOOSE({1,2,3},E6,E16,E26),CHOOSE({1,2,3},$F6,$F16,$F26),TRUE),1)*$F36+INDEX(LINEST(CHOOSE({1,2,3},E6,E16,E26),CHOOSE({1,2,3},$F6,$F16,$F26),TRUE),2)</f>
        <v>601.881336176942</v>
      </c>
      <c r="F36" s="2">
        <v>170</v>
      </c>
      <c r="H36" s="4" cm="1">
        <f t="array" ref="H36">INDEX(LINEST(CHOOSE({1,2,3},H6,H16,H26),CHOOSE({1,2,3},$F$6,$F$16,$F$26),TRUE),1)*$F$36+INDEX(LINEST(CHOOSE({1,2,3},H6,H16,H26),CHOOSE({1,2,3},$F$6,$F$16,$F$26),TRUE),2)</f>
        <v>104.62116229770047</v>
      </c>
      <c r="I36" s="4" cm="1">
        <f t="array" ref="I36">INDEX(LINEST(CHOOSE({1,2,3},I6,I16,I26),CHOOSE({1,2,3},$F$6,$F$16,$F$26),TRUE),1)*$F$36+INDEX(LINEST(CHOOSE({1,2,3},I6,I16,I26),CHOOSE({1,2,3},$F$6,$F$16,$F$26),TRUE),2)</f>
        <v>174.3713208044947</v>
      </c>
      <c r="J36" s="4" cm="1">
        <f t="array" ref="J36">INDEX(LINEST(CHOOSE({1,2,3},J6,J16,J26),CHOOSE({1,2,3},$F$6,$F$16,$F$26),TRUE),1)*$F$36+INDEX(LINEST(CHOOSE({1,2,3},J6,J16,J26),CHOOSE({1,2,3},$F$6,$F$16,$F$26),TRUE),2)</f>
        <v>0</v>
      </c>
      <c r="K36" s="4" cm="1">
        <f t="array" ref="K36">INDEX(LINEST(CHOOSE({1,2,3},K6,K16,K26),CHOOSE({1,2,3},$F$6,$F$16,$F$26),TRUE),1)*$F$36+INDEX(LINEST(CHOOSE({1,2,3},K6,K16,K26),CHOOSE({1,2,3},$F$6,$F$16,$F$26),TRUE),2)</f>
        <v>93.653411349973908</v>
      </c>
      <c r="L36" s="4" cm="1">
        <f t="array" ref="L36">INDEX(LINEST(CHOOSE({1,2,3},L6,L16,L26),CHOOSE({1,2,3},$F$6,$F$16,$F$26),TRUE),1)*$F$36+INDEX(LINEST(CHOOSE({1,2,3},L6,L16,L26),CHOOSE({1,2,3},$F$6,$F$16,$F$26),TRUE),2)</f>
        <v>0</v>
      </c>
      <c r="M36" s="4" cm="1">
        <f t="array" ref="M36">INDEX(LINEST(CHOOSE({1,2,3},M6,M16,M26),CHOOSE({1,2,3},$F$6,$F$16,$F$26),TRUE),1)*$F$36+INDEX(LINEST(CHOOSE({1,2,3},M6,M16,M26),CHOOSE({1,2,3},$F$6,$F$16,$F$26),TRUE),2)</f>
        <v>-141.3713208044947</v>
      </c>
      <c r="N36" s="4"/>
      <c r="O36" s="4">
        <f>(O6-H6)+H36</f>
        <v>104.62116229770047</v>
      </c>
      <c r="P36" s="4">
        <f t="shared" ref="P36:T36" si="0">(P6-I6)+I36</f>
        <v>174.3713208044947</v>
      </c>
      <c r="Q36" s="4">
        <f t="shared" si="0"/>
        <v>0</v>
      </c>
      <c r="R36" s="4">
        <f t="shared" si="0"/>
        <v>93.653411349973908</v>
      </c>
      <c r="S36" s="4">
        <f t="shared" si="0"/>
        <v>0</v>
      </c>
      <c r="T36" s="4">
        <f t="shared" si="0"/>
        <v>-141.3713208044947</v>
      </c>
      <c r="W36" s="4" cm="1">
        <f t="array" ref="W36">INDEX(LINEST(CHOOSE({1,2,3},W6,W16,W26),CHOOSE({1,2,3},$F$6,$F$16,$F$26),TRUE),1)*$F$36+INDEX(LINEST(CHOOSE({1,2,3},W6,W16,W26),CHOOSE({1,2,3},$F$6,$F$16,$F$26),TRUE),2)</f>
        <v>417.82987665996626</v>
      </c>
    </row>
    <row r="37" spans="2:23" x14ac:dyDescent="0.25">
      <c r="B37">
        <v>28.466594631043503</v>
      </c>
      <c r="H37" s="4" cm="1">
        <f t="array" ref="H37">INDEX(LINEST(CHOOSE({1,2,3},H7,H17,H27),CHOOSE({1,2,3},$F$6,$F$16,$F$26),TRUE),1)*$F$36+INDEX(LINEST(CHOOSE({1,2,3},H7,H17,H27),CHOOSE({1,2,3},$F$6,$F$16,$F$26),TRUE),2)</f>
        <v>225.76737376345798</v>
      </c>
      <c r="I37" s="4" cm="1">
        <f t="array" ref="I37">INDEX(LINEST(CHOOSE({1,2,3},I7,I17,I27),CHOOSE({1,2,3},$F$6,$F$16,$F$26),TRUE),1)*$F$36+INDEX(LINEST(CHOOSE({1,2,3},I7,I17,I27),CHOOSE({1,2,3},$F$6,$F$16,$F$26),TRUE),2)</f>
        <v>-10.95950689623702</v>
      </c>
      <c r="J37" s="4" cm="1">
        <f t="array" ref="J37">INDEX(LINEST(CHOOSE({1,2,3},J7,J17,J27),CHOOSE({1,2,3},$F$6,$F$16,$F$26),TRUE),1)*$F$36+INDEX(LINEST(CHOOSE({1,2,3},J7,J17,J27),CHOOSE({1,2,3},$F$6,$F$16,$F$26),TRUE),2)</f>
        <v>-79.541537271036148</v>
      </c>
      <c r="K37" s="4" cm="1">
        <f t="array" ref="K37">INDEX(LINEST(CHOOSE({1,2,3},K7,K17,K27),CHOOSE({1,2,3},$F$6,$F$16,$F$26),TRUE),1)*$F$36+INDEX(LINEST(CHOOSE({1,2,3},K7,K17,K27),CHOOSE({1,2,3},$F$6,$F$16,$F$26),TRUE),2)</f>
        <v>0</v>
      </c>
      <c r="L37" s="4" cm="1">
        <f t="array" ref="L37">INDEX(LINEST(CHOOSE({1,2,3},L7,L17,L27),CHOOSE({1,2,3},$F$6,$F$16,$F$26),TRUE),1)*$F$36+INDEX(LINEST(CHOOSE({1,2,3},L7,L17,L27),CHOOSE({1,2,3},$F$6,$F$16,$F$26),TRUE),2)</f>
        <v>79.523687987195416</v>
      </c>
      <c r="M37" s="4" cm="1">
        <f t="array" ref="M37">INDEX(LINEST(CHOOSE({1,2,3},M7,M17,M27),CHOOSE({1,2,3},$F$6,$F$16,$F$26),TRUE),1)*$F$36+INDEX(LINEST(CHOOSE({1,2,3},M7,M17,M27),CHOOSE({1,2,3},$F$6,$F$16,$F$26),TRUE),2)</f>
        <v>0</v>
      </c>
      <c r="N37" s="4"/>
      <c r="O37" s="4">
        <f t="shared" ref="O37:O44" si="1">(O7-H7)+H37</f>
        <v>255.76737376345798</v>
      </c>
      <c r="P37" s="4">
        <f t="shared" ref="P37:P44" si="2">(P7-I7)+I37</f>
        <v>-10.95950689623702</v>
      </c>
      <c r="Q37" s="4">
        <f t="shared" ref="Q37:Q44" si="3">(Q7-J7)+J37</f>
        <v>-105.54153727103615</v>
      </c>
      <c r="R37" s="4">
        <f t="shared" ref="R37:R44" si="4">(R7-K7)+K37</f>
        <v>0</v>
      </c>
      <c r="S37" s="4">
        <f t="shared" ref="S37:S44" si="5">(S7-L7)+L37</f>
        <v>78.523687987195416</v>
      </c>
      <c r="T37" s="4">
        <f t="shared" ref="T37:T44" si="6">(T7-M7)+M37</f>
        <v>0</v>
      </c>
    </row>
    <row r="38" spans="2:23" x14ac:dyDescent="0.25">
      <c r="H38" s="4" cm="1">
        <f t="array" ref="H38">INDEX(LINEST(CHOOSE({1,2,3},H8,H18,H28),CHOOSE({1,2,3},$F$6,$F$16,$F$26),TRUE),1)*$F$36+INDEX(LINEST(CHOOSE({1,2,3},H8,H18,H28),CHOOSE({1,2,3},$F$6,$F$16,$F$26),TRUE),2)</f>
        <v>376.62188945138513</v>
      </c>
      <c r="I38" s="4" cm="1">
        <f t="array" ref="I38">INDEX(LINEST(CHOOSE({1,2,3},I8,I18,I28),CHOOSE({1,2,3},$F$6,$F$16,$F$26),TRUE),1)*$F$36+INDEX(LINEST(CHOOSE({1,2,3},I8,I18,I28),CHOOSE({1,2,3},$F$6,$F$16,$F$26),TRUE),2)</f>
        <v>96.290334596968734</v>
      </c>
      <c r="J38" s="4" cm="1">
        <f t="array" ref="J38">INDEX(LINEST(CHOOSE({1,2,3},J8,J18,J28),CHOOSE({1,2,3},$F$6,$F$16,$F$26),TRUE),1)*$F$36+INDEX(LINEST(CHOOSE({1,2,3},J8,J18,J28),CHOOSE({1,2,3},$F$6,$F$16,$F$26),TRUE),2)</f>
        <v>-26.5154439357059</v>
      </c>
      <c r="K38" s="4" cm="1">
        <f t="array" ref="K38">INDEX(LINEST(CHOOSE({1,2,3},K8,K18,K28),CHOOSE({1,2,3},$F$6,$F$16,$F$26),TRUE),1)*$F$36+INDEX(LINEST(CHOOSE({1,2,3},K8,K18,K28),CHOOSE({1,2,3},$F$6,$F$16,$F$26),TRUE),2)</f>
        <v>-59.645167298484367</v>
      </c>
      <c r="L38" s="4" cm="1">
        <f t="array" ref="L38">INDEX(LINEST(CHOOSE({1,2,3},L8,L18,L28),CHOOSE({1,2,3},$F$6,$F$16,$F$26),TRUE),1)*$F$36+INDEX(LINEST(CHOOSE({1,2,3},L8,L18,L28),CHOOSE({1,2,3},$F$6,$F$16,$F$26),TRUE),2)</f>
        <v>0</v>
      </c>
      <c r="M38" s="4" cm="1">
        <f t="array" ref="M38">INDEX(LINEST(CHOOSE({1,2,3},M8,M18,M28),CHOOSE({1,2,3},$F$6,$F$16,$F$26),TRUE),1)*$F$36+INDEX(LINEST(CHOOSE({1,2,3},M8,M18,M28),CHOOSE({1,2,3},$F$6,$F$16,$F$26),TRUE),2)</f>
        <v>0</v>
      </c>
      <c r="N38" s="4"/>
      <c r="O38" s="4">
        <f t="shared" si="1"/>
        <v>429.62188945138513</v>
      </c>
      <c r="P38" s="4">
        <f t="shared" si="2"/>
        <v>135.29033459696873</v>
      </c>
      <c r="Q38" s="4">
        <f t="shared" si="3"/>
        <v>-26.5154439357059</v>
      </c>
      <c r="R38" s="4">
        <f t="shared" si="4"/>
        <v>-83.645167298484367</v>
      </c>
      <c r="S38" s="4">
        <f t="shared" si="5"/>
        <v>0</v>
      </c>
      <c r="T38" s="4">
        <f t="shared" si="6"/>
        <v>0</v>
      </c>
    </row>
    <row r="39" spans="2:23" x14ac:dyDescent="0.25">
      <c r="H39" s="4" cm="1">
        <f t="array" ref="H39">INDEX(LINEST(CHOOSE({1,2,3},H9,H19,H29),CHOOSE({1,2,3},$F$6,$F$16,$F$26),TRUE),1)*$F$36+INDEX(LINEST(CHOOSE({1,2,3},H9,H19,H29),CHOOSE({1,2,3},$F$6,$F$16,$F$26),TRUE),2)</f>
        <v>348.42078511343192</v>
      </c>
      <c r="I39" s="4" cm="1">
        <f t="array" ref="I39">INDEX(LINEST(CHOOSE({1,2,3},I9,I19,I29),CHOOSE({1,2,3},$F$6,$F$16,$F$26),TRUE),1)*$F$36+INDEX(LINEST(CHOOSE({1,2,3},I9,I19,I29),CHOOSE({1,2,3},$F$6,$F$16,$F$26),TRUE),2)</f>
        <v>118.4200579597472</v>
      </c>
      <c r="J39" s="4" cm="1">
        <f t="array" ref="J39">INDEX(LINEST(CHOOSE({1,2,3},J9,J19,J29),CHOOSE({1,2,3},$F$6,$F$16,$F$26),TRUE),1)*$F$36+INDEX(LINEST(CHOOSE({1,2,3},J9,J19,J29),CHOOSE({1,2,3},$F$6,$F$16,$F$26),TRUE),2)</f>
        <v>0</v>
      </c>
      <c r="K39" s="4" cm="1">
        <f t="array" ref="K39">INDEX(LINEST(CHOOSE({1,2,3},K9,K19,K29),CHOOSE({1,2,3},$F$6,$F$16,$F$26),TRUE),1)*$F$36+INDEX(LINEST(CHOOSE({1,2,3},K9,K19,K29),CHOOSE({1,2,3},$F$6,$F$16,$F$26),TRUE),2)</f>
        <v>0</v>
      </c>
      <c r="L39" s="4" cm="1">
        <f t="array" ref="L39">INDEX(LINEST(CHOOSE({1,2,3},L9,L19,L29),CHOOSE({1,2,3},$F$6,$F$16,$F$26),TRUE),1)*$F$36+INDEX(LINEST(CHOOSE({1,2,3},L9,L19,L29),CHOOSE({1,2,3},$F$6,$F$16,$F$26),TRUE),2)</f>
        <v>-19.726153506010327</v>
      </c>
      <c r="M39" s="4" cm="1">
        <f t="array" ref="M39">INDEX(LINEST(CHOOSE({1,2,3},M9,M19,M29),CHOOSE({1,2,3},$F$6,$F$16,$F$26),TRUE),1)*$F$36+INDEX(LINEST(CHOOSE({1,2,3},M9,M19,M29),CHOOSE({1,2,3},$F$6,$F$16,$F$26),TRUE),2)</f>
        <v>-14.403569856768144</v>
      </c>
      <c r="N39" s="4"/>
      <c r="O39" s="4">
        <f t="shared" si="1"/>
        <v>393.42078511343192</v>
      </c>
      <c r="P39" s="4">
        <f t="shared" si="2"/>
        <v>158.4200579597472</v>
      </c>
      <c r="Q39" s="4">
        <f t="shared" si="3"/>
        <v>0</v>
      </c>
      <c r="R39" s="4">
        <f t="shared" si="4"/>
        <v>0</v>
      </c>
      <c r="S39" s="4">
        <f t="shared" si="5"/>
        <v>-17.726153506010327</v>
      </c>
      <c r="T39" s="4">
        <f t="shared" si="6"/>
        <v>-15.403569856768144</v>
      </c>
    </row>
    <row r="40" spans="2:23" x14ac:dyDescent="0.25">
      <c r="H40" s="4" cm="1">
        <f t="array" ref="H40">INDEX(LINEST(CHOOSE({1,2,3},H10,H20,H30),CHOOSE({1,2,3},$F$6,$F$16,$F$26),TRUE),1)*$F$36+INDEX(LINEST(CHOOSE({1,2,3},H10,H20,H30),CHOOSE({1,2,3},$F$6,$F$16,$F$26),TRUE),2)</f>
        <v>267.60540134840608</v>
      </c>
      <c r="I40" s="4" cm="1">
        <f t="array" ref="I40">INDEX(LINEST(CHOOSE({1,2,3},I10,I20,I30),CHOOSE({1,2,3},$F$6,$F$16,$F$26),TRUE),1)*$F$36+INDEX(LINEST(CHOOSE({1,2,3},I10,I20,I30),CHOOSE({1,2,3},$F$6,$F$16,$F$26),TRUE),2)</f>
        <v>90.460551063510181</v>
      </c>
      <c r="J40" s="4" cm="1">
        <f t="array" ref="J40">INDEX(LINEST(CHOOSE({1,2,3},J10,J20,J30),CHOOSE({1,2,3},$F$6,$F$16,$F$26),TRUE),1)*$F$36+INDEX(LINEST(CHOOSE({1,2,3},J10,J20,J30),CHOOSE({1,2,3},$F$6,$F$16,$F$26),TRUE),2)</f>
        <v>39.403569856768144</v>
      </c>
      <c r="K40" s="4" cm="1">
        <f t="array" ref="K40">INDEX(LINEST(CHOOSE({1,2,3},K10,K20,K30),CHOOSE({1,2,3},$F$6,$F$16,$F$26),TRUE),1)*$F$36+INDEX(LINEST(CHOOSE({1,2,3},K10,K20,K30),CHOOSE({1,2,3},$F$6,$F$16,$F$26),TRUE),2)</f>
        <v>0</v>
      </c>
      <c r="L40" s="4" cm="1">
        <f t="array" ref="L40">INDEX(LINEST(CHOOSE({1,2,3},L10,L20,L30),CHOOSE({1,2,3},$F$6,$F$16,$F$26),TRUE),1)*$F$36+INDEX(LINEST(CHOOSE({1,2,3},L10,L20,L30),CHOOSE({1,2,3},$F$6,$F$16,$F$26),TRUE),2)</f>
        <v>-41.152367182700736</v>
      </c>
      <c r="M40" s="4" cm="1">
        <f t="array" ref="M40">INDEX(LINEST(CHOOSE({1,2,3},M10,M20,M30),CHOOSE({1,2,3},$F$6,$F$16,$F$26),TRUE),1)*$F$36+INDEX(LINEST(CHOOSE({1,2,3},M10,M20,M30),CHOOSE({1,2,3},$F$6,$F$16,$F$26),TRUE),2)</f>
        <v>0</v>
      </c>
      <c r="N40" s="4"/>
      <c r="O40" s="4">
        <f t="shared" si="1"/>
        <v>311.60540134840608</v>
      </c>
      <c r="P40" s="4">
        <f t="shared" si="2"/>
        <v>118.46055106351018</v>
      </c>
      <c r="Q40" s="4">
        <f t="shared" si="3"/>
        <v>39.403569856768144</v>
      </c>
      <c r="R40" s="4">
        <f t="shared" si="4"/>
        <v>0</v>
      </c>
      <c r="S40" s="4">
        <f t="shared" si="5"/>
        <v>-41.152367182700736</v>
      </c>
      <c r="T40" s="4">
        <f t="shared" si="6"/>
        <v>0</v>
      </c>
    </row>
    <row r="41" spans="2:23" x14ac:dyDescent="0.25">
      <c r="H41" s="4" cm="1">
        <f t="array" ref="H41">INDEX(LINEST(CHOOSE({1,2,3},H11,H21,H31),CHOOSE({1,2,3},$F$6,$F$16,$F$26),TRUE),1)*$F$36+INDEX(LINEST(CHOOSE({1,2,3},H11,H21,H31),CHOOSE({1,2,3},$F$6,$F$16,$F$26),TRUE),2)</f>
        <v>203.32331080292687</v>
      </c>
      <c r="I41" s="4" cm="1">
        <f t="array" ref="I41">INDEX(LINEST(CHOOSE({1,2,3},I11,I21,I31),CHOOSE({1,2,3},$F$6,$F$16,$F$26),TRUE),1)*$F$36+INDEX(LINEST(CHOOSE({1,2,3},I11,I21,I31),CHOOSE({1,2,3},$F$6,$F$16,$F$26),TRUE),2)</f>
        <v>171.7426416089894</v>
      </c>
      <c r="J41" s="4" cm="1">
        <f t="array" ref="J41">INDEX(LINEST(CHOOSE({1,2,3},J11,J21,J31),CHOOSE({1,2,3},$F$6,$F$16,$F$26),TRUE),1)*$F$36+INDEX(LINEST(CHOOSE({1,2,3},J11,J21,J31),CHOOSE({1,2,3},$F$6,$F$16,$F$26),TRUE),2)</f>
        <v>0</v>
      </c>
      <c r="K41" s="4" cm="1">
        <f t="array" ref="K41">INDEX(LINEST(CHOOSE({1,2,3},K11,K21,K31),CHOOSE({1,2,3},$F$6,$F$16,$F$26),TRUE),1)*$F$36+INDEX(LINEST(CHOOSE({1,2,3},K11,K21,K31),CHOOSE({1,2,3},$F$6,$F$16,$F$26),TRUE),2)</f>
        <v>-44.322583649242183</v>
      </c>
      <c r="L41" s="4" cm="1">
        <f t="array" ref="L41">INDEX(LINEST(CHOOSE({1,2,3},L11,L21,L31),CHOOSE({1,2,3},$F$6,$F$16,$F$26),TRUE),1)*$F$36+INDEX(LINEST(CHOOSE({1,2,3},L11,L21,L31),CHOOSE({1,2,3},$F$6,$F$16,$F$26),TRUE),2)</f>
        <v>0</v>
      </c>
      <c r="M41" s="4" cm="1">
        <f t="array" ref="M41">INDEX(LINEST(CHOOSE({1,2,3},M11,M21,M31),CHOOSE({1,2,3},$F$6,$F$16,$F$26),TRUE),1)*$F$36+INDEX(LINEST(CHOOSE({1,2,3},M11,M21,M31),CHOOSE({1,2,3},$F$6,$F$16,$F$26),TRUE),2)</f>
        <v>87.379564855984228</v>
      </c>
      <c r="N41" s="4"/>
      <c r="O41" s="4">
        <f t="shared" si="1"/>
        <v>247.32331080292687</v>
      </c>
      <c r="P41" s="4">
        <f t="shared" si="2"/>
        <v>212.7426416089894</v>
      </c>
      <c r="Q41" s="4">
        <f t="shared" si="3"/>
        <v>0</v>
      </c>
      <c r="R41" s="4">
        <f t="shared" si="4"/>
        <v>-51.322583649242183</v>
      </c>
      <c r="S41" s="4">
        <f t="shared" si="5"/>
        <v>0</v>
      </c>
      <c r="T41" s="4">
        <f t="shared" si="6"/>
        <v>99.379564855984228</v>
      </c>
    </row>
    <row r="42" spans="2:23" x14ac:dyDescent="0.25">
      <c r="H42" s="4" cm="1">
        <f t="array" ref="H42">INDEX(LINEST(CHOOSE({1,2,3},H12,H22,H32),CHOOSE({1,2,3},$F$6,$F$16,$F$26),TRUE),1)*$F$36+INDEX(LINEST(CHOOSE({1,2,3},H12,H22,H32),CHOOSE({1,2,3},$F$6,$F$16,$F$26),TRUE),2)</f>
        <v>252.37204795817934</v>
      </c>
      <c r="I42" s="4" cm="1">
        <f t="array" ref="I42">INDEX(LINEST(CHOOSE({1,2,3},I12,I22,I32),CHOOSE({1,2,3},$F$6,$F$16,$F$26),TRUE),1)*$F$36+INDEX(LINEST(CHOOSE({1,2,3},I12,I22,I32),CHOOSE({1,2,3},$F$6,$F$16,$F$26),TRUE),2)</f>
        <v>586.15518267093171</v>
      </c>
      <c r="J42" s="4" cm="1">
        <f t="array" ref="J42">INDEX(LINEST(CHOOSE({1,2,3},J12,J22,J32),CHOOSE({1,2,3},$F$6,$F$16,$F$26),TRUE),1)*$F$36+INDEX(LINEST(CHOOSE({1,2,3},J12,J22,J32),CHOOSE({1,2,3},$F$6,$F$16,$F$26),TRUE),2)</f>
        <v>-34.089230259015494</v>
      </c>
      <c r="K42" s="4" cm="1">
        <f t="array" ref="K42">INDEX(LINEST(CHOOSE({1,2,3},K12,K22,K32),CHOOSE({1,2,3},$F$6,$F$16,$F$26),TRUE),1)*$F$36+INDEX(LINEST(CHOOSE({1,2,3},K12,K22,K32),CHOOSE({1,2,3},$F$6,$F$16,$F$26),TRUE),2)</f>
        <v>-240.03297620595814</v>
      </c>
      <c r="L42" s="4" cm="1">
        <f t="array" ref="L42">INDEX(LINEST(CHOOSE({1,2,3},L12,L22,L32),CHOOSE({1,2,3},$F$6,$F$16,$F$26),TRUE),1)*$F$36+INDEX(LINEST(CHOOSE({1,2,3},L12,L22,L32),CHOOSE({1,2,3},$F$6,$F$16,$F$26),TRUE),2)</f>
        <v>0</v>
      </c>
      <c r="M42" s="4" cm="1">
        <f t="array" ref="M42">INDEX(LINEST(CHOOSE({1,2,3},M12,M22,M32),CHOOSE({1,2,3},$F$6,$F$16,$F$26),TRUE),1)*$F$36+INDEX(LINEST(CHOOSE({1,2,3},M12,M22,M32),CHOOSE({1,2,3},$F$6,$F$16,$F$26),TRUE),2)</f>
        <v>0</v>
      </c>
      <c r="N42" s="4"/>
      <c r="O42" s="4">
        <f t="shared" si="1"/>
        <v>306.37204795817934</v>
      </c>
      <c r="P42" s="4">
        <f t="shared" si="2"/>
        <v>582.15518267093171</v>
      </c>
      <c r="Q42" s="4">
        <f t="shared" si="3"/>
        <v>-46.089230259015494</v>
      </c>
      <c r="R42" s="4">
        <f t="shared" si="4"/>
        <v>-216.03297620595814</v>
      </c>
      <c r="S42" s="4">
        <f t="shared" si="5"/>
        <v>0</v>
      </c>
      <c r="T42" s="4">
        <f t="shared" si="6"/>
        <v>0</v>
      </c>
    </row>
    <row r="43" spans="2:23" x14ac:dyDescent="0.25">
      <c r="H43" s="4" cm="1">
        <f t="array" ref="H43">INDEX(LINEST(CHOOSE({1,2,3},H13,H23,H33),CHOOSE({1,2,3},$F$6,$F$16,$F$26),TRUE),1)*$F$36+INDEX(LINEST(CHOOSE({1,2,3},H13,H23,H33),CHOOSE({1,2,3},$F$6,$F$16,$F$26),TRUE),2)</f>
        <v>231.72688065969501</v>
      </c>
      <c r="I43" s="4" cm="1">
        <f t="array" ref="I43">INDEX(LINEST(CHOOSE({1,2,3},I13,I23,I33),CHOOSE({1,2,3},$F$6,$F$16,$F$26),TRUE),1)*$F$36+INDEX(LINEST(CHOOSE({1,2,3},I13,I23,I33),CHOOSE({1,2,3},$F$6,$F$16,$F$26),TRUE),2)</f>
        <v>601.881336176942</v>
      </c>
      <c r="J43" s="4" cm="1">
        <f t="array" ref="J43">INDEX(LINEST(CHOOSE({1,2,3},J13,J23,J33),CHOOSE({1,2,3},$F$6,$F$16,$F$26),TRUE),1)*$F$36+INDEX(LINEST(CHOOSE({1,2,3},J13,J23,J33),CHOOSE({1,2,3},$F$6,$F$16,$F$26),TRUE),2)</f>
        <v>0</v>
      </c>
      <c r="K43" s="4" cm="1">
        <f t="array" ref="K43">INDEX(LINEST(CHOOSE({1,2,3},K13,K23,K33),CHOOSE({1,2,3},$F$6,$F$16,$F$26),TRUE),1)*$F$36+INDEX(LINEST(CHOOSE({1,2,3},K13,K23,K33),CHOOSE({1,2,3},$F$6,$F$16,$F$26),TRUE),2)</f>
        <v>0</v>
      </c>
      <c r="L43" s="4" cm="1">
        <f t="array" ref="L43">INDEX(LINEST(CHOOSE({1,2,3},L13,L23,L33),CHOOSE({1,2,3},$F$6,$F$16,$F$26),TRUE),1)*$F$36+INDEX(LINEST(CHOOSE({1,2,3},L13,L23,L33),CHOOSE({1,2,3},$F$6,$F$16,$F$26),TRUE),2)</f>
        <v>0</v>
      </c>
      <c r="M43" s="4" cm="1">
        <f t="array" ref="M43">INDEX(LINEST(CHOOSE({1,2,3},M13,M23,M33),CHOOSE({1,2,3},$F$6,$F$16,$F$26),TRUE),1)*$F$36+INDEX(LINEST(CHOOSE({1,2,3},M13,M23,M33),CHOOSE({1,2,3},$F$6,$F$16,$F$26),TRUE),2)</f>
        <v>0</v>
      </c>
      <c r="N43" s="4"/>
      <c r="O43" s="4">
        <f t="shared" si="1"/>
        <v>273.72688065969498</v>
      </c>
      <c r="P43" s="4">
        <f t="shared" si="2"/>
        <v>601.881336176942</v>
      </c>
      <c r="Q43" s="4">
        <f t="shared" si="3"/>
        <v>0</v>
      </c>
      <c r="R43" s="4">
        <f t="shared" si="4"/>
        <v>0</v>
      </c>
      <c r="S43" s="4">
        <f t="shared" si="5"/>
        <v>0</v>
      </c>
      <c r="T43" s="4">
        <f t="shared" si="6"/>
        <v>0</v>
      </c>
    </row>
    <row r="44" spans="2:23" x14ac:dyDescent="0.25">
      <c r="H44" s="4" cm="1">
        <f t="array" ref="H44">INDEX(LINEST(CHOOSE({1,2,3},H14,H24,H34),CHOOSE({1,2,3},$F$6,$F$16,$F$26),TRUE),1)*$F$36+INDEX(LINEST(CHOOSE({1,2,3},H14,H24,H34),CHOOSE({1,2,3},$F$6,$F$16,$F$26),TRUE),2)</f>
        <v>116.5401760901745</v>
      </c>
      <c r="I44" s="4" cm="1">
        <f t="array" ref="I44">INDEX(LINEST(CHOOSE({1,2,3},I14,I24,I34),CHOOSE({1,2,3},$F$6,$F$16,$F$26),TRUE),1)*$F$36+INDEX(LINEST(CHOOSE({1,2,3},I14,I24,I34),CHOOSE({1,2,3},$F$6,$F$16,$F$26),TRUE),2)</f>
        <v>598.88133617694211</v>
      </c>
      <c r="J44" s="4" cm="1">
        <f t="array" ref="J44">INDEX(LINEST(CHOOSE({1,2,3},J14,J24,J34),CHOOSE({1,2,3},$F$6,$F$16,$F$26),TRUE),1)*$F$36+INDEX(LINEST(CHOOSE({1,2,3},J14,J24,J34),CHOOSE({1,2,3},$F$6,$F$16,$F$26),TRUE),2)</f>
        <v>0</v>
      </c>
      <c r="K44" s="4" cm="1">
        <f t="array" ref="K44">INDEX(LINEST(CHOOSE({1,2,3},K14,K24,K34),CHOOSE({1,2,3},$F$6,$F$16,$F$26),TRUE),1)*$F$36+INDEX(LINEST(CHOOSE({1,2,3},K14,K24,K34),CHOOSE({1,2,3},$F$6,$F$16,$F$26),TRUE),2)</f>
        <v>0</v>
      </c>
      <c r="L44" s="4" cm="1">
        <f t="array" ref="L44">INDEX(LINEST(CHOOSE({1,2,3},L14,L24,L34),CHOOSE({1,2,3},$F$6,$F$16,$F$26),TRUE),1)*$F$36+INDEX(LINEST(CHOOSE({1,2,3},L14,L24,L34),CHOOSE({1,2,3},$F$6,$F$16,$F$26),TRUE),2)</f>
        <v>-4.9595068962370199</v>
      </c>
      <c r="M44" s="4" cm="1">
        <f t="array" ref="M44">INDEX(LINEST(CHOOSE({1,2,3},M14,M24,M34),CHOOSE({1,2,3},$F$6,$F$16,$F$26),TRUE),1)*$F$36+INDEX(LINEST(CHOOSE({1,2,3},M14,M24,M34),CHOOSE({1,2,3},$F$6,$F$16,$F$26),TRUE),2)</f>
        <v>-155.38780890747375</v>
      </c>
      <c r="N44" s="4"/>
      <c r="O44" s="4">
        <f t="shared" si="1"/>
        <v>116.5401760901745</v>
      </c>
      <c r="P44" s="4">
        <f t="shared" si="2"/>
        <v>598.88133617694211</v>
      </c>
      <c r="Q44" s="4">
        <f t="shared" si="3"/>
        <v>0</v>
      </c>
      <c r="R44" s="4">
        <f t="shared" si="4"/>
        <v>0</v>
      </c>
      <c r="S44" s="4">
        <f t="shared" si="5"/>
        <v>-4.9595068962370199</v>
      </c>
      <c r="T44" s="4">
        <f t="shared" si="6"/>
        <v>-155.38780890747375</v>
      </c>
    </row>
    <row r="45" spans="2:23" x14ac:dyDescent="0.25">
      <c r="H45" s="1"/>
      <c r="I45" s="1"/>
    </row>
    <row r="46" spans="2:23" x14ac:dyDescent="0.25">
      <c r="H46" s="1"/>
      <c r="I46" s="1"/>
    </row>
    <row r="47" spans="2:23" x14ac:dyDescent="0.25">
      <c r="H47" s="1"/>
      <c r="I47" s="1"/>
    </row>
    <row r="48" spans="2:23" x14ac:dyDescent="0.25">
      <c r="H48" s="1"/>
      <c r="I48" s="1"/>
    </row>
    <row r="49" spans="8:9" x14ac:dyDescent="0.25">
      <c r="H49" s="1"/>
      <c r="I4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Hamilton Secondary College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Moschou</dc:creator>
  <cp:lastModifiedBy>Andrew Moschou</cp:lastModifiedBy>
  <dcterms:created xsi:type="dcterms:W3CDTF">2025-04-17T10:58:14Z</dcterms:created>
  <dcterms:modified xsi:type="dcterms:W3CDTF">2025-04-17T13:18:03Z</dcterms:modified>
</cp:coreProperties>
</file>